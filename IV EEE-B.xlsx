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000"/>
  </bookViews>
  <sheets>
    <sheet name="Student Namelist" sheetId="1" r:id="rId1"/>
    <sheet name="Summary Dashboard" sheetId="2" r:id="rId2"/>
  </sheets>
  <definedNames>
    <definedName name="_xlnm._FilterDatabase" localSheetId="0" hidden="1">'Student Namelist'!$A$5:$G$55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<sst xmlns="http://schemas.openxmlformats.org/spreadsheetml/2006/main" count="319" uniqueCount="268">
  <si>
    <t>COLLEGE OF ENGINEERING AND TECHNOLOGY, SRM INSTITUTE OF SCIENCE AND TECHNOLOGY, KATTANKULATHUR</t>
  </si>
  <si>
    <t>FACULTY ADVISOR - STUDENT NAMELIST (ACADEMIC YEAR 2026-27)</t>
  </si>
  <si>
    <t>Program: B.Tech | Department: Electrical and Electronics Engineering (EE) | Section: B | Batch: 2</t>
  </si>
  <si>
    <t>S.No.</t>
  </si>
  <si>
    <t>Registration No.</t>
  </si>
  <si>
    <t>Student Name</t>
  </si>
  <si>
    <t>Section</t>
  </si>
  <si>
    <t>Student Mobile</t>
  </si>
  <si>
    <t>Student Email</t>
  </si>
  <si>
    <t>Parent Mobile</t>
  </si>
  <si>
    <t>RA2311005010052</t>
  </si>
  <si>
    <t>VISHAL GNANAVEL T</t>
  </si>
  <si>
    <t>B</t>
  </si>
  <si>
    <t>9444630642</t>
  </si>
  <si>
    <t>vg1910@srmist.edu.in</t>
  </si>
  <si>
    <t>9445394619</t>
  </si>
  <si>
    <t>RA2311005010053</t>
  </si>
  <si>
    <t>DHEEPASWARUPAN</t>
  </si>
  <si>
    <t>7904422619</t>
  </si>
  <si>
    <t>dt8652@srmist.edu.in</t>
  </si>
  <si>
    <t>9841361615</t>
  </si>
  <si>
    <t>RA2311005010054</t>
  </si>
  <si>
    <t>ABDE ALI</t>
  </si>
  <si>
    <t>8239523853</t>
  </si>
  <si>
    <t>aa3366@srmist.edu.in</t>
  </si>
  <si>
    <t>9414234725</t>
  </si>
  <si>
    <t>RA2311005010056</t>
  </si>
  <si>
    <t>ANSH SRIVASTAVA</t>
  </si>
  <si>
    <t>8470872126</t>
  </si>
  <si>
    <t>as2709@srmist.edu.in</t>
  </si>
  <si>
    <t>8318682423</t>
  </si>
  <si>
    <t>RA2311005010058</t>
  </si>
  <si>
    <t>JAMKHANAM LATHIEF HUSSAIN</t>
  </si>
  <si>
    <t>9966706319</t>
  </si>
  <si>
    <t>jj6400@srmist.edu.in</t>
  </si>
  <si>
    <t>8186023489</t>
  </si>
  <si>
    <t>RA2311005010059</t>
  </si>
  <si>
    <t>POKALA REETHIKA</t>
  </si>
  <si>
    <t>9490461514</t>
  </si>
  <si>
    <t>rp4045@srmist.edu.in</t>
  </si>
  <si>
    <t>9989367959</t>
  </si>
  <si>
    <t>RA2311005010060</t>
  </si>
  <si>
    <t>HARMAN TEJ SINGH VIRK</t>
  </si>
  <si>
    <t>8281335721</t>
  </si>
  <si>
    <t>hv7105@srmist.edu.in</t>
  </si>
  <si>
    <t>9441380105</t>
  </si>
  <si>
    <t>RA2311005010061</t>
  </si>
  <si>
    <t>NEETHU K NARAYANAN</t>
  </si>
  <si>
    <t>9400599402</t>
  </si>
  <si>
    <t>nk0368@srmist.edu.in</t>
  </si>
  <si>
    <t>9446476037</t>
  </si>
  <si>
    <t>RA2311005010062</t>
  </si>
  <si>
    <t>SNEHA R</t>
  </si>
  <si>
    <t>7358844580</t>
  </si>
  <si>
    <t>sr4529@srmist.edu.in</t>
  </si>
  <si>
    <t>8778273530</t>
  </si>
  <si>
    <t>RA2311005010063</t>
  </si>
  <si>
    <t>VARSHINI VS</t>
  </si>
  <si>
    <t>9840229348</t>
  </si>
  <si>
    <t>vv3304@srmist.edu.in</t>
  </si>
  <si>
    <t>9840050348</t>
  </si>
  <si>
    <t>RA2311005010064</t>
  </si>
  <si>
    <t>ARGHA DUTTA</t>
  </si>
  <si>
    <t>7397335317</t>
  </si>
  <si>
    <t>ad0378@srmist.edu.in</t>
  </si>
  <si>
    <t>8471937307</t>
  </si>
  <si>
    <t>RA2311005010067</t>
  </si>
  <si>
    <t>SHAILESH KUMAR SINGH</t>
  </si>
  <si>
    <t>9958254509</t>
  </si>
  <si>
    <t>sk4815@srmist.edu.in</t>
  </si>
  <si>
    <t>9818026386</t>
  </si>
  <si>
    <t>RA2311005010068</t>
  </si>
  <si>
    <t>PADMAPRIYA S</t>
  </si>
  <si>
    <t>9952388165</t>
  </si>
  <si>
    <t>ps3065@srmist.edu.in</t>
  </si>
  <si>
    <t>Not Available</t>
  </si>
  <si>
    <t>RA2311005010069</t>
  </si>
  <si>
    <t>INDRAJITHA S</t>
  </si>
  <si>
    <t>8943541220</t>
  </si>
  <si>
    <t>ia6976@srmist.edu.in</t>
  </si>
  <si>
    <t>6576571019</t>
  </si>
  <si>
    <t>RA2311005010070</t>
  </si>
  <si>
    <t>HARI PRASATH M</t>
  </si>
  <si>
    <t>9442177712</t>
  </si>
  <si>
    <t>hp4184@srmist.edu.in</t>
  </si>
  <si>
    <t>7708063640</t>
  </si>
  <si>
    <t>RA2311005010071</t>
  </si>
  <si>
    <t>GOLDWIN R</t>
  </si>
  <si>
    <t>8870872601</t>
  </si>
  <si>
    <t>gr2682@srmist.edu.in</t>
  </si>
  <si>
    <t>9442418601</t>
  </si>
  <si>
    <t>RA2311005010072</t>
  </si>
  <si>
    <t>PRATYUSH ANAND</t>
  </si>
  <si>
    <t>8434625777</t>
  </si>
  <si>
    <t>pa5448@srmist.edu.in</t>
  </si>
  <si>
    <t>7004459263</t>
  </si>
  <si>
    <t>RA2311005010073</t>
  </si>
  <si>
    <t>SUBHAM PATI</t>
  </si>
  <si>
    <t>8018149361</t>
  </si>
  <si>
    <t>sp2670@srmist.edu.in</t>
  </si>
  <si>
    <t>9439465406</t>
  </si>
  <si>
    <t>RA2311005010074</t>
  </si>
  <si>
    <t>ASHWIN P</t>
  </si>
  <si>
    <t>7907645720</t>
  </si>
  <si>
    <t>ap2977@srmist.edu.in</t>
  </si>
  <si>
    <t>9562620569</t>
  </si>
  <si>
    <t>RA2311005010075</t>
  </si>
  <si>
    <t>KARTHIK PEMMANI</t>
  </si>
  <si>
    <t>9441864908</t>
  </si>
  <si>
    <t>kp4147@srmist.edu.in</t>
  </si>
  <si>
    <t>9784978334</t>
  </si>
  <si>
    <t>RA2311005010077</t>
  </si>
  <si>
    <t>PNRR SURYA SRINIVAS</t>
  </si>
  <si>
    <t>9492277382</t>
  </si>
  <si>
    <t>sp9102@srmist.edu.in</t>
  </si>
  <si>
    <t>9499942835</t>
  </si>
  <si>
    <t>RA2311005010078</t>
  </si>
  <si>
    <t>HARSHITH R</t>
  </si>
  <si>
    <t>9025429482</t>
  </si>
  <si>
    <t>hr0719@srmist.edu.in</t>
  </si>
  <si>
    <t>8610984689</t>
  </si>
  <si>
    <t>RA2311005010079</t>
  </si>
  <si>
    <t>PRIYANSHU CHAURASIA</t>
  </si>
  <si>
    <t>7541009996</t>
  </si>
  <si>
    <t>pc2289@srmist.edu.in</t>
  </si>
  <si>
    <t>8731826855</t>
  </si>
  <si>
    <t>RA2311005010081</t>
  </si>
  <si>
    <t>HARSHIL GUPTA</t>
  </si>
  <si>
    <t>8451909060</t>
  </si>
  <si>
    <t>hg7993@srmist.edu.in</t>
  </si>
  <si>
    <t>932303530</t>
  </si>
  <si>
    <t>RA2311005010082</t>
  </si>
  <si>
    <t>MUDDALA UMESH CHANDRA</t>
  </si>
  <si>
    <t>8519969406</t>
  </si>
  <si>
    <t>um2611@srmist.edu.in</t>
  </si>
  <si>
    <t>9440112497</t>
  </si>
  <si>
    <t>RA2311005010083</t>
  </si>
  <si>
    <t>ABOOBACKER SIDDIQE EP</t>
  </si>
  <si>
    <t>7025602059</t>
  </si>
  <si>
    <t>ae0222@srmist.edu.in</t>
  </si>
  <si>
    <t>7025401962</t>
  </si>
  <si>
    <t>RA2311005010084</t>
  </si>
  <si>
    <t>CONRAD JUSTIN BORGES</t>
  </si>
  <si>
    <t>9148434245</t>
  </si>
  <si>
    <t>cb6891@srmist.edu.in</t>
  </si>
  <si>
    <t>9821477945</t>
  </si>
  <si>
    <t>RA2311005010085</t>
  </si>
  <si>
    <t>JOEL T REJI</t>
  </si>
  <si>
    <t>7510947991</t>
  </si>
  <si>
    <t>jr9256@srmist.edu.in</t>
  </si>
  <si>
    <t>9447254706</t>
  </si>
  <si>
    <t>RA2311005010086</t>
  </si>
  <si>
    <t>SUBHADEEP BAUL</t>
  </si>
  <si>
    <t>8967569644</t>
  </si>
  <si>
    <t>sb3477@srmist.edu.in</t>
  </si>
  <si>
    <t>7063029225</t>
  </si>
  <si>
    <t>RA2311005010088</t>
  </si>
  <si>
    <t>RUPAK V</t>
  </si>
  <si>
    <t>8056276292</t>
  </si>
  <si>
    <t>rv3811@srmist.edu.in</t>
  </si>
  <si>
    <t>9952989034</t>
  </si>
  <si>
    <t>RA2311005010089</t>
  </si>
  <si>
    <t>ANANT GOYAL</t>
  </si>
  <si>
    <t>9560107811</t>
  </si>
  <si>
    <t>ag3621@srmist.edu.in</t>
  </si>
  <si>
    <t>9549078111</t>
  </si>
  <si>
    <t>RA2311005010090</t>
  </si>
  <si>
    <t>ADITYA KUMAR KUTTIYIL</t>
  </si>
  <si>
    <t>99381495</t>
  </si>
  <si>
    <t>ak3694@srmist.edu.in</t>
  </si>
  <si>
    <t>8113842386</t>
  </si>
  <si>
    <t>RA2311005010091</t>
  </si>
  <si>
    <t>JAYDEN ALEX</t>
  </si>
  <si>
    <t>9605005532</t>
  </si>
  <si>
    <t>ja6202@srmist.edu.in</t>
  </si>
  <si>
    <t>9496364975</t>
  </si>
  <si>
    <t>RA2311005010092</t>
  </si>
  <si>
    <t>APARAJITA PAL</t>
  </si>
  <si>
    <t>9599836233</t>
  </si>
  <si>
    <t>ap5233@srmist.edu.in</t>
  </si>
  <si>
    <t>775295091</t>
  </si>
  <si>
    <t>RA2311005010093</t>
  </si>
  <si>
    <t>AYUSH DAGA</t>
  </si>
  <si>
    <t>9534783329</t>
  </si>
  <si>
    <t>ad3736@srmist.edu.in</t>
  </si>
  <si>
    <t>9934258929</t>
  </si>
  <si>
    <t>RA2311005010094</t>
  </si>
  <si>
    <t>ROHIT JHAJHRIA</t>
  </si>
  <si>
    <t>9351312022</t>
  </si>
  <si>
    <t>rj8978@srmist.edu.in</t>
  </si>
  <si>
    <t>849393559</t>
  </si>
  <si>
    <t>RA2311005010095</t>
  </si>
  <si>
    <t>ROUNAK MAJUMDER</t>
  </si>
  <si>
    <t>9038086430</t>
  </si>
  <si>
    <t>rm6740@srmist.edu.in</t>
  </si>
  <si>
    <t>9038086434</t>
  </si>
  <si>
    <t>RA2311005010096</t>
  </si>
  <si>
    <t>MUSKAN SINGH</t>
  </si>
  <si>
    <t>6306537702</t>
  </si>
  <si>
    <t>md4527@srmist.edu.in</t>
  </si>
  <si>
    <t>7379284238</t>
  </si>
  <si>
    <t>RA2311005010097</t>
  </si>
  <si>
    <t>INIYAN</t>
  </si>
  <si>
    <t>7200049277</t>
  </si>
  <si>
    <t>ir7318@srmist.edu.in</t>
  </si>
  <si>
    <t>8015805707</t>
  </si>
  <si>
    <t>RA2311005010098</t>
  </si>
  <si>
    <t>CHITESH THANGASAMY NA</t>
  </si>
  <si>
    <t>9445669582</t>
  </si>
  <si>
    <t>ct7859@srmist.edu.in</t>
  </si>
  <si>
    <t>9940617244</t>
  </si>
  <si>
    <t>RA2311005010099</t>
  </si>
  <si>
    <t>LAKSHYA JAIN</t>
  </si>
  <si>
    <t>8724993162</t>
  </si>
  <si>
    <t>lj0928@srmist.edu.in</t>
  </si>
  <si>
    <t>9435048859</t>
  </si>
  <si>
    <t>RA2311005010100</t>
  </si>
  <si>
    <t>DHARANEESH S</t>
  </si>
  <si>
    <t>7010645372</t>
  </si>
  <si>
    <t>ds9538@srmist.edu.in</t>
  </si>
  <si>
    <t>7305293196</t>
  </si>
  <si>
    <t>RA2311005010101</t>
  </si>
  <si>
    <t>NASHATH IBNU NOUFAL</t>
  </si>
  <si>
    <t>7907488228</t>
  </si>
  <si>
    <t>ni3567@srmist.edu.in</t>
  </si>
  <si>
    <t>9400577960</t>
  </si>
  <si>
    <t>RA2311005010102</t>
  </si>
  <si>
    <t>JAGADEESH SARVIN RAJ J</t>
  </si>
  <si>
    <t>6380769870</t>
  </si>
  <si>
    <t>jj4622@srmist.edu.in</t>
  </si>
  <si>
    <t>9965371917</t>
  </si>
  <si>
    <t>RA2311005010103</t>
  </si>
  <si>
    <t>ARYAMAN SINGH</t>
  </si>
  <si>
    <t>8851686175</t>
  </si>
  <si>
    <t>as3683@srmist.edu.in</t>
  </si>
  <si>
    <t>9868069136</t>
  </si>
  <si>
    <t>RA2311005010104</t>
  </si>
  <si>
    <t>SAMARPAN KHAREL</t>
  </si>
  <si>
    <t>9861926431</t>
  </si>
  <si>
    <t>sk8718@srmist.edu.in</t>
  </si>
  <si>
    <t>9849030902</t>
  </si>
  <si>
    <t>RA2311005010105</t>
  </si>
  <si>
    <t>ABRAHAM NGONG MAJUR BHER</t>
  </si>
  <si>
    <t>8140205808</t>
  </si>
  <si>
    <t>ab8507@srmist.edu.in</t>
  </si>
  <si>
    <t>924066875</t>
  </si>
  <si>
    <t>RA2311005010106</t>
  </si>
  <si>
    <t>CHANDRU S</t>
  </si>
  <si>
    <t>9943860830</t>
  </si>
  <si>
    <t>cs1735@srmist.edu.in</t>
  </si>
  <si>
    <t>RA2311005010107</t>
  </si>
  <si>
    <t>JEMINI M</t>
  </si>
  <si>
    <t>9940036031</t>
  </si>
  <si>
    <t>jm1055@srmist.edu.in</t>
  </si>
  <si>
    <t>RA2311005010108</t>
  </si>
  <si>
    <t>ARPUTHA JEFFRY L</t>
  </si>
  <si>
    <t>7010265383</t>
  </si>
  <si>
    <t>al3303@srmist.edu.in</t>
  </si>
  <si>
    <t>9488991120</t>
  </si>
  <si>
    <t>FACULTY ADVISORY COMPLIANCE &amp; STATUS OVERVIEW</t>
  </si>
  <si>
    <t>Metric</t>
  </si>
  <si>
    <t>Count</t>
  </si>
  <si>
    <t>Percentage</t>
  </si>
  <si>
    <t>Total Students</t>
  </si>
  <si>
    <t>Address Completed</t>
  </si>
  <si>
    <t>Address Pending</t>
  </si>
  <si>
    <t>Midsem Feedback Completed</t>
  </si>
  <si>
    <t>Endsem Feedback Completed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</si>
</sst>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</numFmts>
  <fonts count="27">
    <font>
      <sz val="11"/>
      <name val="Calibri"/>
      <charset val="134"/>
      <scheme val="minor"/>
    </font>
    <font>
      <b/>
      <sz val="13"/>
      <color rgb="FFFFFFFF"/>
      <name val="Calibri"/>
      <charset val="134"/>
    </font>
    <font>
      <b/>
      <sz val="10"/>
      <color rgb="FFFFFFFF"/>
      <name val="Calibri"/>
      <charset val="134"/>
    </font>
    <font>
      <sz val="10"/>
      <name val="Calibri"/>
      <charset val="134"/>
    </font>
    <font>
      <b/>
      <sz val="10"/>
      <name val="Calibri"/>
      <charset val="134"/>
    </font>
    <font>
      <b/>
      <sz val="11"/>
      <color rgb="FF1B365D"/>
      <name val="Calibri"/>
      <charset val="134"/>
    </font>
    <font>
      <i/>
      <sz val="10"/>
      <color rgb="FF444444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4C7E"/>
        <bgColor rgb="FF2B4C7E"/>
      </patternFill>
    </fill>
    <fill>
      <patternFill patternType="solid">
        <fgColor rgb="FFE8EEF5"/>
        <bgColor rgb="FFE8EEF5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medium">
        <color rgb="FF1B365D"/>
      </top>
      <bottom style="medium">
        <color rgb="FF1B365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/>
    </xf>
    <xf numFmtId="0" fontId="0" fillId="0" borderId="0" xfId="0" applyFont="1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tabSelected="1" workbookViewId="0">
      <pane ySplit="5" topLeftCell="A12" activePane="bottomLeft" state="frozen"/>
      <selection/>
      <selection pane="bottomLeft" activeCell="B7" sqref="B7"/>
    </sheetView>
  </sheetViews>
  <sheetFormatPr defaultColWidth="14.4272727272727" defaultRowHeight="15" customHeight="1" outlineLevelCol="6"/>
  <cols>
    <col min="1" max="1" width="8" customWidth="1"/>
    <col min="2" max="2" width="20" customWidth="1"/>
    <col min="3" max="3" width="28" customWidth="1"/>
    <col min="4" max="4" width="10" customWidth="1"/>
    <col min="5" max="5" width="16" customWidth="1"/>
    <col min="6" max="6" width="26" customWidth="1"/>
    <col min="7" max="7" width="16" customWidth="1"/>
  </cols>
  <sheetData>
    <row r="1" ht="27.75" customHeight="1" spans="1:7">
      <c r="A1" s="1" t="s">
        <v>0</v>
      </c>
      <c r="B1" s="1"/>
      <c r="C1" s="1"/>
      <c r="D1" s="1"/>
      <c r="E1" s="1"/>
      <c r="F1" s="1"/>
      <c r="G1" s="1"/>
    </row>
    <row r="2" ht="21.75" customHeight="1" spans="1:7">
      <c r="A2" s="8" t="s">
        <v>1</v>
      </c>
      <c r="B2" s="8"/>
      <c r="C2" s="8"/>
      <c r="D2" s="8"/>
      <c r="E2" s="8"/>
      <c r="F2" s="8"/>
      <c r="G2" s="8"/>
    </row>
    <row r="3" ht="18" customHeight="1" spans="1:7">
      <c r="A3" s="9" t="s">
        <v>2</v>
      </c>
      <c r="B3" s="9"/>
      <c r="C3" s="9"/>
      <c r="D3" s="9"/>
      <c r="E3" s="9"/>
      <c r="F3" s="9"/>
      <c r="G3" s="9"/>
    </row>
    <row r="5" ht="30" customHeight="1" spans="1:7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</row>
    <row r="6" ht="19.5" customHeight="1" spans="1:7">
      <c r="A6" s="11">
        <v>1</v>
      </c>
      <c r="B6" s="12" t="s">
        <v>10</v>
      </c>
      <c r="C6" s="13" t="s">
        <v>11</v>
      </c>
      <c r="D6" s="11" t="s">
        <v>12</v>
      </c>
      <c r="E6" s="12" t="s">
        <v>13</v>
      </c>
      <c r="F6" s="13" t="s">
        <v>14</v>
      </c>
      <c r="G6" s="12" t="s">
        <v>15</v>
      </c>
    </row>
    <row r="7" ht="19.5" customHeight="1" spans="1:7">
      <c r="A7" s="14">
        <v>2</v>
      </c>
      <c r="B7" s="15" t="s">
        <v>16</v>
      </c>
      <c r="C7" s="16" t="s">
        <v>17</v>
      </c>
      <c r="D7" s="14" t="s">
        <v>12</v>
      </c>
      <c r="E7" s="15" t="s">
        <v>18</v>
      </c>
      <c r="F7" s="16" t="s">
        <v>19</v>
      </c>
      <c r="G7" s="15" t="s">
        <v>20</v>
      </c>
    </row>
    <row r="8" ht="19.5" customHeight="1" spans="1:7">
      <c r="A8" s="11">
        <v>3</v>
      </c>
      <c r="B8" s="12" t="s">
        <v>21</v>
      </c>
      <c r="C8" s="13" t="s">
        <v>22</v>
      </c>
      <c r="D8" s="11" t="s">
        <v>12</v>
      </c>
      <c r="E8" s="12" t="s">
        <v>23</v>
      </c>
      <c r="F8" s="13" t="s">
        <v>24</v>
      </c>
      <c r="G8" s="12" t="s">
        <v>25</v>
      </c>
    </row>
    <row r="9" ht="19.5" customHeight="1" spans="1:7">
      <c r="A9" s="14">
        <v>4</v>
      </c>
      <c r="B9" s="15" t="s">
        <v>26</v>
      </c>
      <c r="C9" s="16" t="s">
        <v>27</v>
      </c>
      <c r="D9" s="14" t="s">
        <v>12</v>
      </c>
      <c r="E9" s="15" t="s">
        <v>28</v>
      </c>
      <c r="F9" s="16" t="s">
        <v>29</v>
      </c>
      <c r="G9" s="15" t="s">
        <v>30</v>
      </c>
    </row>
    <row r="10" ht="19.5" customHeight="1" spans="1:7">
      <c r="A10" s="11">
        <v>5</v>
      </c>
      <c r="B10" s="12" t="s">
        <v>31</v>
      </c>
      <c r="C10" s="13" t="s">
        <v>32</v>
      </c>
      <c r="D10" s="11" t="s">
        <v>12</v>
      </c>
      <c r="E10" s="12" t="s">
        <v>33</v>
      </c>
      <c r="F10" s="13" t="s">
        <v>34</v>
      </c>
      <c r="G10" s="12" t="s">
        <v>35</v>
      </c>
    </row>
    <row r="11" ht="19.5" customHeight="1" spans="1:7">
      <c r="A11" s="14">
        <v>6</v>
      </c>
      <c r="B11" s="15" t="s">
        <v>36</v>
      </c>
      <c r="C11" s="16" t="s">
        <v>37</v>
      </c>
      <c r="D11" s="14" t="s">
        <v>12</v>
      </c>
      <c r="E11" s="15" t="s">
        <v>38</v>
      </c>
      <c r="F11" s="16" t="s">
        <v>39</v>
      </c>
      <c r="G11" s="15" t="s">
        <v>40</v>
      </c>
    </row>
    <row r="12" ht="19.5" customHeight="1" spans="1:7">
      <c r="A12" s="11">
        <v>7</v>
      </c>
      <c r="B12" s="12" t="s">
        <v>41</v>
      </c>
      <c r="C12" s="13" t="s">
        <v>42</v>
      </c>
      <c r="D12" s="11" t="s">
        <v>12</v>
      </c>
      <c r="E12" s="12" t="s">
        <v>43</v>
      </c>
      <c r="F12" s="13" t="s">
        <v>44</v>
      </c>
      <c r="G12" s="12" t="s">
        <v>45</v>
      </c>
    </row>
    <row r="13" ht="19.5" customHeight="1" spans="1:7">
      <c r="A13" s="14">
        <v>8</v>
      </c>
      <c r="B13" s="15" t="s">
        <v>46</v>
      </c>
      <c r="C13" s="16" t="s">
        <v>47</v>
      </c>
      <c r="D13" s="14" t="s">
        <v>12</v>
      </c>
      <c r="E13" s="15" t="s">
        <v>48</v>
      </c>
      <c r="F13" s="16" t="s">
        <v>49</v>
      </c>
      <c r="G13" s="15" t="s">
        <v>50</v>
      </c>
    </row>
    <row r="14" ht="19.5" customHeight="1" spans="1:7">
      <c r="A14" s="11">
        <v>9</v>
      </c>
      <c r="B14" s="12" t="s">
        <v>51</v>
      </c>
      <c r="C14" s="13" t="s">
        <v>52</v>
      </c>
      <c r="D14" s="11" t="s">
        <v>12</v>
      </c>
      <c r="E14" s="12" t="s">
        <v>53</v>
      </c>
      <c r="F14" s="13" t="s">
        <v>54</v>
      </c>
      <c r="G14" s="12" t="s">
        <v>55</v>
      </c>
    </row>
    <row r="15" ht="19.5" customHeight="1" spans="1:7">
      <c r="A15" s="14">
        <v>10</v>
      </c>
      <c r="B15" s="15" t="s">
        <v>56</v>
      </c>
      <c r="C15" s="16" t="s">
        <v>57</v>
      </c>
      <c r="D15" s="14" t="s">
        <v>12</v>
      </c>
      <c r="E15" s="15" t="s">
        <v>58</v>
      </c>
      <c r="F15" s="16" t="s">
        <v>59</v>
      </c>
      <c r="G15" s="15" t="s">
        <v>60</v>
      </c>
    </row>
    <row r="16" ht="19.5" customHeight="1" spans="1:7">
      <c r="A16" s="11">
        <v>11</v>
      </c>
      <c r="B16" s="12" t="s">
        <v>61</v>
      </c>
      <c r="C16" s="13" t="s">
        <v>62</v>
      </c>
      <c r="D16" s="11" t="s">
        <v>12</v>
      </c>
      <c r="E16" s="12" t="s">
        <v>63</v>
      </c>
      <c r="F16" s="13" t="s">
        <v>64</v>
      </c>
      <c r="G16" s="12" t="s">
        <v>65</v>
      </c>
    </row>
    <row r="17" ht="19.5" customHeight="1" spans="1:7">
      <c r="A17" s="14">
        <v>12</v>
      </c>
      <c r="B17" s="15" t="s">
        <v>66</v>
      </c>
      <c r="C17" s="16" t="s">
        <v>67</v>
      </c>
      <c r="D17" s="14" t="s">
        <v>12</v>
      </c>
      <c r="E17" s="15" t="s">
        <v>68</v>
      </c>
      <c r="F17" s="16" t="s">
        <v>69</v>
      </c>
      <c r="G17" s="15" t="s">
        <v>70</v>
      </c>
    </row>
    <row r="18" ht="19.5" customHeight="1" spans="1:7">
      <c r="A18" s="11">
        <v>13</v>
      </c>
      <c r="B18" s="12" t="s">
        <v>71</v>
      </c>
      <c r="C18" s="13" t="s">
        <v>72</v>
      </c>
      <c r="D18" s="11" t="s">
        <v>12</v>
      </c>
      <c r="E18" s="12" t="s">
        <v>73</v>
      </c>
      <c r="F18" s="13" t="s">
        <v>74</v>
      </c>
      <c r="G18" s="12" t="s">
        <v>75</v>
      </c>
    </row>
    <row r="19" ht="19.5" customHeight="1" spans="1:7">
      <c r="A19" s="14">
        <v>14</v>
      </c>
      <c r="B19" s="15" t="s">
        <v>76</v>
      </c>
      <c r="C19" s="16" t="s">
        <v>77</v>
      </c>
      <c r="D19" s="14" t="s">
        <v>12</v>
      </c>
      <c r="E19" s="15" t="s">
        <v>78</v>
      </c>
      <c r="F19" s="16" t="s">
        <v>79</v>
      </c>
      <c r="G19" s="15" t="s">
        <v>80</v>
      </c>
    </row>
    <row r="20" ht="19.5" customHeight="1" spans="1:7">
      <c r="A20" s="11">
        <v>15</v>
      </c>
      <c r="B20" s="12" t="s">
        <v>81</v>
      </c>
      <c r="C20" s="13" t="s">
        <v>82</v>
      </c>
      <c r="D20" s="11" t="s">
        <v>12</v>
      </c>
      <c r="E20" s="12" t="s">
        <v>83</v>
      </c>
      <c r="F20" s="13" t="s">
        <v>84</v>
      </c>
      <c r="G20" s="12" t="s">
        <v>85</v>
      </c>
    </row>
    <row r="21" ht="19.5" customHeight="1" spans="1:7">
      <c r="A21" s="14">
        <v>16</v>
      </c>
      <c r="B21" s="15" t="s">
        <v>86</v>
      </c>
      <c r="C21" s="16" t="s">
        <v>87</v>
      </c>
      <c r="D21" s="14" t="s">
        <v>12</v>
      </c>
      <c r="E21" s="15" t="s">
        <v>88</v>
      </c>
      <c r="F21" s="16" t="s">
        <v>89</v>
      </c>
      <c r="G21" s="15" t="s">
        <v>90</v>
      </c>
    </row>
    <row r="22" ht="19.5" customHeight="1" spans="1:7">
      <c r="A22" s="11">
        <v>17</v>
      </c>
      <c r="B22" s="12" t="s">
        <v>91</v>
      </c>
      <c r="C22" s="13" t="s">
        <v>92</v>
      </c>
      <c r="D22" s="11" t="s">
        <v>12</v>
      </c>
      <c r="E22" s="12" t="s">
        <v>93</v>
      </c>
      <c r="F22" s="13" t="s">
        <v>94</v>
      </c>
      <c r="G22" s="12" t="s">
        <v>95</v>
      </c>
    </row>
    <row r="23" ht="19.5" customHeight="1" spans="1:7">
      <c r="A23" s="14">
        <v>18</v>
      </c>
      <c r="B23" s="15" t="s">
        <v>96</v>
      </c>
      <c r="C23" s="16" t="s">
        <v>97</v>
      </c>
      <c r="D23" s="14" t="s">
        <v>12</v>
      </c>
      <c r="E23" s="15" t="s">
        <v>98</v>
      </c>
      <c r="F23" s="16" t="s">
        <v>99</v>
      </c>
      <c r="G23" s="15" t="s">
        <v>100</v>
      </c>
    </row>
    <row r="24" ht="19.5" customHeight="1" spans="1:7">
      <c r="A24" s="11">
        <v>19</v>
      </c>
      <c r="B24" s="12" t="s">
        <v>101</v>
      </c>
      <c r="C24" s="13" t="s">
        <v>102</v>
      </c>
      <c r="D24" s="11" t="s">
        <v>12</v>
      </c>
      <c r="E24" s="12" t="s">
        <v>103</v>
      </c>
      <c r="F24" s="13" t="s">
        <v>104</v>
      </c>
      <c r="G24" s="12" t="s">
        <v>105</v>
      </c>
    </row>
    <row r="25" ht="19.5" customHeight="1" spans="1:7">
      <c r="A25" s="14">
        <v>20</v>
      </c>
      <c r="B25" s="15" t="s">
        <v>106</v>
      </c>
      <c r="C25" s="16" t="s">
        <v>107</v>
      </c>
      <c r="D25" s="14" t="s">
        <v>12</v>
      </c>
      <c r="E25" s="15" t="s">
        <v>108</v>
      </c>
      <c r="F25" s="16" t="s">
        <v>109</v>
      </c>
      <c r="G25" s="15" t="s">
        <v>110</v>
      </c>
    </row>
    <row r="26" ht="19.5" customHeight="1" spans="1:7">
      <c r="A26" s="11">
        <v>21</v>
      </c>
      <c r="B26" s="12" t="s">
        <v>111</v>
      </c>
      <c r="C26" s="13" t="s">
        <v>112</v>
      </c>
      <c r="D26" s="11" t="s">
        <v>12</v>
      </c>
      <c r="E26" s="12" t="s">
        <v>113</v>
      </c>
      <c r="F26" s="13" t="s">
        <v>114</v>
      </c>
      <c r="G26" s="12" t="s">
        <v>115</v>
      </c>
    </row>
    <row r="27" ht="19.5" customHeight="1" spans="1:7">
      <c r="A27" s="14">
        <v>22</v>
      </c>
      <c r="B27" s="15" t="s">
        <v>116</v>
      </c>
      <c r="C27" s="16" t="s">
        <v>117</v>
      </c>
      <c r="D27" s="14" t="s">
        <v>12</v>
      </c>
      <c r="E27" s="15" t="s">
        <v>118</v>
      </c>
      <c r="F27" s="16" t="s">
        <v>119</v>
      </c>
      <c r="G27" s="15" t="s">
        <v>120</v>
      </c>
    </row>
    <row r="28" ht="19.5" customHeight="1" spans="1:7">
      <c r="A28" s="11">
        <v>23</v>
      </c>
      <c r="B28" s="12" t="s">
        <v>121</v>
      </c>
      <c r="C28" s="13" t="s">
        <v>122</v>
      </c>
      <c r="D28" s="11" t="s">
        <v>12</v>
      </c>
      <c r="E28" s="12" t="s">
        <v>123</v>
      </c>
      <c r="F28" s="13" t="s">
        <v>124</v>
      </c>
      <c r="G28" s="12" t="s">
        <v>125</v>
      </c>
    </row>
    <row r="29" ht="19.5" customHeight="1" spans="1:7">
      <c r="A29" s="14">
        <v>24</v>
      </c>
      <c r="B29" s="15" t="s">
        <v>126</v>
      </c>
      <c r="C29" s="16" t="s">
        <v>127</v>
      </c>
      <c r="D29" s="14" t="s">
        <v>12</v>
      </c>
      <c r="E29" s="15" t="s">
        <v>128</v>
      </c>
      <c r="F29" s="16" t="s">
        <v>129</v>
      </c>
      <c r="G29" s="15" t="s">
        <v>130</v>
      </c>
    </row>
    <row r="30" ht="19.5" customHeight="1" spans="1:7">
      <c r="A30" s="11">
        <v>25</v>
      </c>
      <c r="B30" s="12" t="s">
        <v>131</v>
      </c>
      <c r="C30" s="13" t="s">
        <v>132</v>
      </c>
      <c r="D30" s="11" t="s">
        <v>12</v>
      </c>
      <c r="E30" s="12" t="s">
        <v>133</v>
      </c>
      <c r="F30" s="13" t="s">
        <v>134</v>
      </c>
      <c r="G30" s="12" t="s">
        <v>135</v>
      </c>
    </row>
    <row r="31" ht="19.5" customHeight="1" spans="1:7">
      <c r="A31" s="14">
        <v>26</v>
      </c>
      <c r="B31" s="15" t="s">
        <v>136</v>
      </c>
      <c r="C31" s="16" t="s">
        <v>137</v>
      </c>
      <c r="D31" s="14" t="s">
        <v>12</v>
      </c>
      <c r="E31" s="15" t="s">
        <v>138</v>
      </c>
      <c r="F31" s="16" t="s">
        <v>139</v>
      </c>
      <c r="G31" s="15" t="s">
        <v>140</v>
      </c>
    </row>
    <row r="32" ht="19.5" customHeight="1" spans="1:7">
      <c r="A32" s="11">
        <v>27</v>
      </c>
      <c r="B32" s="12" t="s">
        <v>141</v>
      </c>
      <c r="C32" s="13" t="s">
        <v>142</v>
      </c>
      <c r="D32" s="11" t="s">
        <v>12</v>
      </c>
      <c r="E32" s="12" t="s">
        <v>143</v>
      </c>
      <c r="F32" s="13" t="s">
        <v>144</v>
      </c>
      <c r="G32" s="12" t="s">
        <v>145</v>
      </c>
    </row>
    <row r="33" ht="19.5" customHeight="1" spans="1:7">
      <c r="A33" s="14">
        <v>28</v>
      </c>
      <c r="B33" s="15" t="s">
        <v>146</v>
      </c>
      <c r="C33" s="16" t="s">
        <v>147</v>
      </c>
      <c r="D33" s="14" t="s">
        <v>12</v>
      </c>
      <c r="E33" s="15" t="s">
        <v>148</v>
      </c>
      <c r="F33" s="16" t="s">
        <v>149</v>
      </c>
      <c r="G33" s="15" t="s">
        <v>150</v>
      </c>
    </row>
    <row r="34" ht="19.5" customHeight="1" spans="1:7">
      <c r="A34" s="11">
        <v>29</v>
      </c>
      <c r="B34" s="12" t="s">
        <v>151</v>
      </c>
      <c r="C34" s="13" t="s">
        <v>152</v>
      </c>
      <c r="D34" s="11" t="s">
        <v>12</v>
      </c>
      <c r="E34" s="12" t="s">
        <v>153</v>
      </c>
      <c r="F34" s="13" t="s">
        <v>154</v>
      </c>
      <c r="G34" s="12" t="s">
        <v>155</v>
      </c>
    </row>
    <row r="35" ht="19.5" customHeight="1" spans="1:7">
      <c r="A35" s="14">
        <v>30</v>
      </c>
      <c r="B35" s="15" t="s">
        <v>156</v>
      </c>
      <c r="C35" s="16" t="s">
        <v>157</v>
      </c>
      <c r="D35" s="14" t="s">
        <v>12</v>
      </c>
      <c r="E35" s="15" t="s">
        <v>158</v>
      </c>
      <c r="F35" s="16" t="s">
        <v>159</v>
      </c>
      <c r="G35" s="15" t="s">
        <v>160</v>
      </c>
    </row>
    <row r="36" ht="19.5" customHeight="1" spans="1:7">
      <c r="A36" s="11">
        <v>31</v>
      </c>
      <c r="B36" s="12" t="s">
        <v>161</v>
      </c>
      <c r="C36" s="13" t="s">
        <v>162</v>
      </c>
      <c r="D36" s="11" t="s">
        <v>12</v>
      </c>
      <c r="E36" s="12" t="s">
        <v>163</v>
      </c>
      <c r="F36" s="13" t="s">
        <v>164</v>
      </c>
      <c r="G36" s="12" t="s">
        <v>165</v>
      </c>
    </row>
    <row r="37" ht="19.5" customHeight="1" spans="1:7">
      <c r="A37" s="14">
        <v>32</v>
      </c>
      <c r="B37" s="15" t="s">
        <v>166</v>
      </c>
      <c r="C37" s="16" t="s">
        <v>167</v>
      </c>
      <c r="D37" s="14" t="s">
        <v>12</v>
      </c>
      <c r="E37" s="15" t="s">
        <v>168</v>
      </c>
      <c r="F37" s="16" t="s">
        <v>169</v>
      </c>
      <c r="G37" s="15" t="s">
        <v>170</v>
      </c>
    </row>
    <row r="38" ht="19.5" customHeight="1" spans="1:7">
      <c r="A38" s="11">
        <v>33</v>
      </c>
      <c r="B38" s="12" t="s">
        <v>171</v>
      </c>
      <c r="C38" s="13" t="s">
        <v>172</v>
      </c>
      <c r="D38" s="11" t="s">
        <v>12</v>
      </c>
      <c r="E38" s="12" t="s">
        <v>173</v>
      </c>
      <c r="F38" s="13" t="s">
        <v>174</v>
      </c>
      <c r="G38" s="12" t="s">
        <v>175</v>
      </c>
    </row>
    <row r="39" ht="19.5" customHeight="1" spans="1:7">
      <c r="A39" s="14">
        <v>34</v>
      </c>
      <c r="B39" s="15" t="s">
        <v>176</v>
      </c>
      <c r="C39" s="16" t="s">
        <v>177</v>
      </c>
      <c r="D39" s="14" t="s">
        <v>12</v>
      </c>
      <c r="E39" s="15" t="s">
        <v>178</v>
      </c>
      <c r="F39" s="16" t="s">
        <v>179</v>
      </c>
      <c r="G39" s="15" t="s">
        <v>180</v>
      </c>
    </row>
    <row r="40" ht="19.5" customHeight="1" spans="1:7">
      <c r="A40" s="11">
        <v>35</v>
      </c>
      <c r="B40" s="12" t="s">
        <v>181</v>
      </c>
      <c r="C40" s="13" t="s">
        <v>182</v>
      </c>
      <c r="D40" s="11" t="s">
        <v>12</v>
      </c>
      <c r="E40" s="12" t="s">
        <v>183</v>
      </c>
      <c r="F40" s="13" t="s">
        <v>184</v>
      </c>
      <c r="G40" s="12" t="s">
        <v>185</v>
      </c>
    </row>
    <row r="41" ht="19.5" customHeight="1" spans="1:7">
      <c r="A41" s="14">
        <v>36</v>
      </c>
      <c r="B41" s="15" t="s">
        <v>186</v>
      </c>
      <c r="C41" s="16" t="s">
        <v>187</v>
      </c>
      <c r="D41" s="14" t="s">
        <v>12</v>
      </c>
      <c r="E41" s="15" t="s">
        <v>188</v>
      </c>
      <c r="F41" s="16" t="s">
        <v>189</v>
      </c>
      <c r="G41" s="15" t="s">
        <v>190</v>
      </c>
    </row>
    <row r="42" ht="19.5" customHeight="1" spans="1:7">
      <c r="A42" s="11">
        <v>37</v>
      </c>
      <c r="B42" s="12" t="s">
        <v>191</v>
      </c>
      <c r="C42" s="13" t="s">
        <v>192</v>
      </c>
      <c r="D42" s="11" t="s">
        <v>12</v>
      </c>
      <c r="E42" s="12" t="s">
        <v>193</v>
      </c>
      <c r="F42" s="13" t="s">
        <v>194</v>
      </c>
      <c r="G42" s="12" t="s">
        <v>195</v>
      </c>
    </row>
    <row r="43" ht="19.5" customHeight="1" spans="1:7">
      <c r="A43" s="14">
        <v>38</v>
      </c>
      <c r="B43" s="15" t="s">
        <v>196</v>
      </c>
      <c r="C43" s="16" t="s">
        <v>197</v>
      </c>
      <c r="D43" s="14" t="s">
        <v>12</v>
      </c>
      <c r="E43" s="15" t="s">
        <v>198</v>
      </c>
      <c r="F43" s="16" t="s">
        <v>199</v>
      </c>
      <c r="G43" s="15" t="s">
        <v>200</v>
      </c>
    </row>
    <row r="44" ht="19.5" customHeight="1" spans="1:7">
      <c r="A44" s="11">
        <v>39</v>
      </c>
      <c r="B44" s="12" t="s">
        <v>201</v>
      </c>
      <c r="C44" s="13" t="s">
        <v>202</v>
      </c>
      <c r="D44" s="11" t="s">
        <v>12</v>
      </c>
      <c r="E44" s="12" t="s">
        <v>203</v>
      </c>
      <c r="F44" s="13" t="s">
        <v>204</v>
      </c>
      <c r="G44" s="12" t="s">
        <v>205</v>
      </c>
    </row>
    <row r="45" ht="19.5" customHeight="1" spans="1:7">
      <c r="A45" s="14">
        <v>40</v>
      </c>
      <c r="B45" s="15" t="s">
        <v>206</v>
      </c>
      <c r="C45" s="16" t="s">
        <v>207</v>
      </c>
      <c r="D45" s="14" t="s">
        <v>12</v>
      </c>
      <c r="E45" s="15" t="s">
        <v>208</v>
      </c>
      <c r="F45" s="16" t="s">
        <v>209</v>
      </c>
      <c r="G45" s="15" t="s">
        <v>210</v>
      </c>
    </row>
    <row r="46" ht="19.5" customHeight="1" spans="1:7">
      <c r="A46" s="11">
        <v>41</v>
      </c>
      <c r="B46" s="12" t="s">
        <v>211</v>
      </c>
      <c r="C46" s="13" t="s">
        <v>212</v>
      </c>
      <c r="D46" s="11" t="s">
        <v>12</v>
      </c>
      <c r="E46" s="12" t="s">
        <v>213</v>
      </c>
      <c r="F46" s="13" t="s">
        <v>214</v>
      </c>
      <c r="G46" s="12" t="s">
        <v>215</v>
      </c>
    </row>
    <row r="47" ht="19.5" customHeight="1" spans="1:7">
      <c r="A47" s="14">
        <v>42</v>
      </c>
      <c r="B47" s="15" t="s">
        <v>216</v>
      </c>
      <c r="C47" s="16" t="s">
        <v>217</v>
      </c>
      <c r="D47" s="14" t="s">
        <v>12</v>
      </c>
      <c r="E47" s="15" t="s">
        <v>218</v>
      </c>
      <c r="F47" s="16" t="s">
        <v>219</v>
      </c>
      <c r="G47" s="15" t="s">
        <v>220</v>
      </c>
    </row>
    <row r="48" ht="19.5" customHeight="1" spans="1:7">
      <c r="A48" s="11">
        <v>43</v>
      </c>
      <c r="B48" s="12" t="s">
        <v>221</v>
      </c>
      <c r="C48" s="13" t="s">
        <v>222</v>
      </c>
      <c r="D48" s="11" t="s">
        <v>12</v>
      </c>
      <c r="E48" s="12" t="s">
        <v>223</v>
      </c>
      <c r="F48" s="13" t="s">
        <v>224</v>
      </c>
      <c r="G48" s="12" t="s">
        <v>225</v>
      </c>
    </row>
    <row r="49" ht="19.5" customHeight="1" spans="1:7">
      <c r="A49" s="14">
        <v>44</v>
      </c>
      <c r="B49" s="15" t="s">
        <v>226</v>
      </c>
      <c r="C49" s="16" t="s">
        <v>227</v>
      </c>
      <c r="D49" s="14" t="s">
        <v>12</v>
      </c>
      <c r="E49" s="15" t="s">
        <v>228</v>
      </c>
      <c r="F49" s="16" t="s">
        <v>229</v>
      </c>
      <c r="G49" s="15" t="s">
        <v>230</v>
      </c>
    </row>
    <row r="50" ht="19.5" customHeight="1" spans="1:7">
      <c r="A50" s="11">
        <v>45</v>
      </c>
      <c r="B50" s="12" t="s">
        <v>231</v>
      </c>
      <c r="C50" s="13" t="s">
        <v>232</v>
      </c>
      <c r="D50" s="11" t="s">
        <v>12</v>
      </c>
      <c r="E50" s="12" t="s">
        <v>233</v>
      </c>
      <c r="F50" s="13" t="s">
        <v>234</v>
      </c>
      <c r="G50" s="12" t="s">
        <v>235</v>
      </c>
    </row>
    <row r="51" ht="19.5" customHeight="1" spans="1:7">
      <c r="A51" s="14">
        <v>46</v>
      </c>
      <c r="B51" s="15" t="s">
        <v>236</v>
      </c>
      <c r="C51" s="16" t="s">
        <v>237</v>
      </c>
      <c r="D51" s="14" t="s">
        <v>12</v>
      </c>
      <c r="E51" s="15" t="s">
        <v>238</v>
      </c>
      <c r="F51" s="16" t="s">
        <v>239</v>
      </c>
      <c r="G51" s="15" t="s">
        <v>240</v>
      </c>
    </row>
    <row r="52" ht="19.5" customHeight="1" spans="1:7">
      <c r="A52" s="11">
        <v>47</v>
      </c>
      <c r="B52" s="12" t="s">
        <v>241</v>
      </c>
      <c r="C52" s="13" t="s">
        <v>242</v>
      </c>
      <c r="D52" s="11" t="s">
        <v>12</v>
      </c>
      <c r="E52" s="12" t="s">
        <v>243</v>
      </c>
      <c r="F52" s="13" t="s">
        <v>244</v>
      </c>
      <c r="G52" s="12" t="s">
        <v>245</v>
      </c>
    </row>
    <row r="53" ht="19.5" customHeight="1" spans="1:7">
      <c r="A53" s="14">
        <v>48</v>
      </c>
      <c r="B53" s="15" t="s">
        <v>246</v>
      </c>
      <c r="C53" s="16" t="s">
        <v>247</v>
      </c>
      <c r="D53" s="14" t="s">
        <v>12</v>
      </c>
      <c r="E53" s="15" t="s">
        <v>248</v>
      </c>
      <c r="F53" s="16" t="s">
        <v>249</v>
      </c>
      <c r="G53" s="15" t="s">
        <v>248</v>
      </c>
    </row>
    <row r="54" ht="19.5" customHeight="1" spans="1:7">
      <c r="A54" s="11">
        <v>49</v>
      </c>
      <c r="B54" s="12" t="s">
        <v>250</v>
      </c>
      <c r="C54" s="13" t="s">
        <v>251</v>
      </c>
      <c r="D54" s="11" t="s">
        <v>12</v>
      </c>
      <c r="E54" s="12" t="s">
        <v>252</v>
      </c>
      <c r="F54" s="13" t="s">
        <v>253</v>
      </c>
      <c r="G54" s="12" t="s">
        <v>252</v>
      </c>
    </row>
    <row r="55" ht="19.5" customHeight="1" spans="1:7">
      <c r="A55" s="14">
        <v>50</v>
      </c>
      <c r="B55" s="15" t="s">
        <v>254</v>
      </c>
      <c r="C55" s="16" t="s">
        <v>255</v>
      </c>
      <c r="D55" s="14" t="s">
        <v>12</v>
      </c>
      <c r="E55" s="15" t="s">
        <v>256</v>
      </c>
      <c r="F55" s="16" t="s">
        <v>257</v>
      </c>
      <c r="G55" s="15" t="s">
        <v>258</v>
      </c>
    </row>
    <row r="56" ht="15.75" customHeight="1"/>
    <row r="57" ht="15.75" customHeight="1" spans="1:7">
      <c r="C57" s="17">
        <f>COUNTA(A6:A55)</f>
        <v>50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xmlns:etc="http://www.wps.cn/officeDocument/2017/etCustomData" ref="A5:G55" etc:filterBottomFollowUsedRange="0">
    <extLst/>
  </autoFilter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selection activeCell="A1" sqref="A1:F1"/>
    </sheetView>
  </sheetViews>
  <sheetFormatPr defaultColWidth="14.4272727272727" defaultRowHeight="15" customHeight="1" outlineLevelCol="5"/>
  <cols>
    <col min="1" max="1" width="4" customWidth="1"/>
    <col min="2" max="2" width="32" customWidth="1"/>
    <col min="3" max="4" width="15" customWidth="1"/>
    <col min="5" max="11" width="8.70909090909091" customWidth="1"/>
  </cols>
  <sheetData>
    <row r="1" ht="27.75" customHeight="1" spans="1:6">
      <c r="A1" s="1" t="s">
        <v>259</v>
      </c>
      <c r="B1" s="2"/>
      <c r="C1" s="2"/>
      <c r="D1" s="2"/>
      <c r="E1" s="2"/>
      <c r="F1" s="2"/>
    </row>
    <row r="3" ht="24" customHeight="1" spans="1:6">
      <c r="B3" s="3" t="s">
        <v>260</v>
      </c>
      <c r="C3" s="4" t="s">
        <v>261</v>
      </c>
      <c r="D3" s="4" t="s">
        <v>262</v>
      </c>
    </row>
    <row r="4" ht="19.5" customHeight="1" spans="1:6">
      <c r="B4" s="5" t="s">
        <v>263</v>
      </c>
      <c r="C4" s="6" t="e">
        <f>#REF!</f>
        <v>#REF!</v>
      </c>
      <c r="D4" s="7" t="e">
        <f>C4/C4</f>
        <v>#REF!</v>
      </c>
    </row>
    <row r="5" ht="19.5" customHeight="1" spans="1:6">
      <c r="B5" s="5" t="s">
        <v>264</v>
      </c>
      <c r="C5" s="6" t="e">
        <f>COUNTIF(#REF!,"Completed")</f>
        <v>#REF!</v>
      </c>
      <c r="D5" s="7" t="e">
        <f>C5/C4</f>
        <v>#REF!</v>
      </c>
    </row>
    <row r="6" ht="19.5" customHeight="1" spans="1:6">
      <c r="B6" s="5" t="s">
        <v>265</v>
      </c>
      <c r="C6" s="6" t="e">
        <f>COUNTIF(#REF!,"Not Completed")</f>
        <v>#REF!</v>
      </c>
      <c r="D6" s="7" t="e">
        <f>C6/C4</f>
        <v>#REF!</v>
      </c>
    </row>
    <row r="7" ht="19.5" customHeight="1" spans="1:6">
      <c r="B7" s="5" t="s">
        <v>266</v>
      </c>
      <c r="C7" s="6" t="e">
        <f>COUNTIF(#REF!,"Completed")</f>
        <v>#REF!</v>
      </c>
      <c r="D7" s="7" t="e">
        <f>C7/C4</f>
        <v>#REF!</v>
      </c>
    </row>
    <row r="8" ht="19.5" customHeight="1" spans="1:6">
      <c r="B8" s="5" t="s">
        <v>267</v>
      </c>
      <c r="C8" s="6" t="e">
        <f>COUNTIF(#REF!,"Completed")</f>
        <v>#REF!</v>
      </c>
      <c r="D8" s="7" t="e">
        <f>C8/C4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F1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 Namelist</vt:lpstr>
      <vt:lpstr>Summary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mithun</cp:lastModifiedBy>
  <dcterms:created xsi:type="dcterms:W3CDTF">2026-09-16T05:41:00Z</dcterms:created>
  <dcterms:modified xsi:type="dcterms:W3CDTF">2026-09-21T16:05:38Z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10730A830026410B92943B1460D671CA_12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